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dfa\Downloads\"/>
    </mc:Choice>
  </mc:AlternateContent>
  <xr:revisionPtr revIDLastSave="0" documentId="13_ncr:1_{8B527AB2-6B3B-49E6-AF65-487956DF0C23}" xr6:coauthVersionLast="47" xr6:coauthVersionMax="47" xr10:uidLastSave="{00000000-0000-0000-0000-000000000000}"/>
  <bookViews>
    <workbookView xWindow="-110" yWindow="-110" windowWidth="19420" windowHeight="10300" xr2:uid="{B402C2DC-1024-49D6-BF25-8CC6A7A17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8" i="1" l="1"/>
  <c r="C160" i="1"/>
  <c r="C146" i="1"/>
  <c r="C130" i="1"/>
  <c r="C102" i="1"/>
  <c r="C89" i="1"/>
  <c r="C74" i="1"/>
  <c r="C55" i="1"/>
  <c r="C47" i="1"/>
  <c r="C39" i="1"/>
  <c r="C25" i="1"/>
  <c r="C20" i="1"/>
  <c r="C8" i="1"/>
</calcChain>
</file>

<file path=xl/sharedStrings.xml><?xml version="1.0" encoding="utf-8"?>
<sst xmlns="http://schemas.openxmlformats.org/spreadsheetml/2006/main" count="180" uniqueCount="179">
  <si>
    <t>TRIVANDRUM</t>
  </si>
  <si>
    <t>ACCURATE TRADE LINKS</t>
  </si>
  <si>
    <t>TRAVANCORE SCALES SERVICES</t>
  </si>
  <si>
    <t>DIGITAL TRADE LINKS</t>
  </si>
  <si>
    <t>MICRO WEIGHING SYSTEMS</t>
  </si>
  <si>
    <t>JHT ELECTRONICS</t>
  </si>
  <si>
    <t>KOLLAM</t>
  </si>
  <si>
    <t>TAKYON SYSTEMS</t>
  </si>
  <si>
    <t>TRANSWORLD SCALES SERVICES</t>
  </si>
  <si>
    <t>METRO ELECTRONICS</t>
  </si>
  <si>
    <t>INDUS SCALES AND SYSTEMS</t>
  </si>
  <si>
    <t>TECHNOMETRIX</t>
  </si>
  <si>
    <t>EVA WEIGHING MACHINES&amp; SYSTEMS</t>
  </si>
  <si>
    <t>Global scales</t>
  </si>
  <si>
    <t>SARA SCALES</t>
  </si>
  <si>
    <t>S N SCALES</t>
  </si>
  <si>
    <t>PATHANAMTHITTA</t>
  </si>
  <si>
    <t>NATIONAL SCALES &amp; SERVICE</t>
  </si>
  <si>
    <t>FELIX WEIGHING SYSTEMS</t>
  </si>
  <si>
    <t>ALAPPUZHA</t>
  </si>
  <si>
    <t>Modern machines</t>
  </si>
  <si>
    <t>KALATHOOR AGENCIES</t>
  </si>
  <si>
    <t>M/s. G.BHASKARAN PILLAI HARDWARE MERCHANTS</t>
  </si>
  <si>
    <t>ARJUN'S POWERTECH</t>
  </si>
  <si>
    <t>Thrass World-Cherthala</t>
  </si>
  <si>
    <t>INFRATECH SOLUTIONS</t>
  </si>
  <si>
    <t>BALANCE BAZAR</t>
  </si>
  <si>
    <t>GILGAL ENTERPRISES</t>
  </si>
  <si>
    <t>QUALITY THRASS</t>
  </si>
  <si>
    <t>TJ SCALE</t>
  </si>
  <si>
    <t>S R VALUE THRASS AND ELECTRONICS</t>
  </si>
  <si>
    <t>KOTTAYAM</t>
  </si>
  <si>
    <t>Victory Scales</t>
  </si>
  <si>
    <t>MATHA AGENCIES</t>
  </si>
  <si>
    <t>New Scale land</t>
  </si>
  <si>
    <t>kuttanad thrass world</t>
  </si>
  <si>
    <t>UNITECH WEIGHING SYSTEM</t>
  </si>
  <si>
    <t>IDUKKI</t>
  </si>
  <si>
    <t>ADIMALI SCALES</t>
  </si>
  <si>
    <t>jayajee scales industries &amp; services</t>
  </si>
  <si>
    <t>KAIRALI SCALE</t>
  </si>
  <si>
    <t>ERNAKULAM</t>
  </si>
  <si>
    <t>ELMASS’ Weighing &amp; Automation Pvt. Ltd</t>
  </si>
  <si>
    <t>ALUVA SCALES INC</t>
  </si>
  <si>
    <t>HAMDHA SCALES</t>
  </si>
  <si>
    <t>Deepa weighing services</t>
  </si>
  <si>
    <t>YELLOW SCALES &amp; SYSTEMS</t>
  </si>
  <si>
    <t>SURYA ELECTRONICS WEIGHING SCALES</t>
  </si>
  <si>
    <t>VIRTUE SYSTEM &amp; TECHNOLOGIES</t>
  </si>
  <si>
    <t>Marvel Scales- Aluva</t>
  </si>
  <si>
    <t>Techno Systems</t>
  </si>
  <si>
    <t>S R VALUE</t>
  </si>
  <si>
    <t>V PROTECK SYSTEMS</t>
  </si>
  <si>
    <t>POPULAR SCALES</t>
  </si>
  <si>
    <t>MARVEL SYSTEM-ADIMALY</t>
  </si>
  <si>
    <t>SCANGLE RETAIL PRIVATE LIMITED</t>
  </si>
  <si>
    <t>Elcon Digital System</t>
  </si>
  <si>
    <t>ULTIMATECAL TECHNOLOGIES PRIVATE LIMITED</t>
  </si>
  <si>
    <t>SSCO WEIGHING SYSTEM</t>
  </si>
  <si>
    <t>THRISSUR</t>
  </si>
  <si>
    <t>KRAUS INSTRUMENTS</t>
  </si>
  <si>
    <t>Dynamic Enterprises</t>
  </si>
  <si>
    <t>SAFE ELECTRONIC</t>
  </si>
  <si>
    <t>Kerala Scales Electronic System</t>
  </si>
  <si>
    <t>BHARAT SCALE</t>
  </si>
  <si>
    <t>MALABAR SCALES- Thirssur</t>
  </si>
  <si>
    <t>MARVEL ELECTRONICS</t>
  </si>
  <si>
    <t>ALFA SYSTEMS-CHALAKKUDY</t>
  </si>
  <si>
    <t>M/s. VPROTECH SYSTEMS</t>
  </si>
  <si>
    <t>Clarion Systems</t>
  </si>
  <si>
    <t>JAAS ENTERPRISES</t>
  </si>
  <si>
    <t>TRASS HOME</t>
  </si>
  <si>
    <t>PALAKKAD</t>
  </si>
  <si>
    <t>VIKAS SCALES SERVICES</t>
  </si>
  <si>
    <t>PERFECT SCALES</t>
  </si>
  <si>
    <t>Minar scales</t>
  </si>
  <si>
    <t>EWAY SOLUTIONS</t>
  </si>
  <si>
    <t>VALLUVANAD SCALES</t>
  </si>
  <si>
    <t>E WAY SOLUTIONS</t>
  </si>
  <si>
    <t>WEIGHING WORLD</t>
  </si>
  <si>
    <t>Electro Tech Scales &amp; Services</t>
  </si>
  <si>
    <t>EDAPAL SCALES</t>
  </si>
  <si>
    <t>METRO ENTERPRISES</t>
  </si>
  <si>
    <t>MALAPPURAM</t>
  </si>
  <si>
    <t>MEEZAN ELECTRONIC SCALES PRIVATE LIMITED</t>
  </si>
  <si>
    <t>DIGITAL SCALE</t>
  </si>
  <si>
    <t>CENTRAL TRADERS</t>
  </si>
  <si>
    <t>VINAYAKA SCALES</t>
  </si>
  <si>
    <t>GLOBAL DIGITAL SYSTEM</t>
  </si>
  <si>
    <t>City Technologies</t>
  </si>
  <si>
    <t>Modern Instruments</t>
  </si>
  <si>
    <t>EXATA BALANCE CO</t>
  </si>
  <si>
    <t>THRASCO SOLUTIONS</t>
  </si>
  <si>
    <t>Base Technologies</t>
  </si>
  <si>
    <t>Chipdot Enterprises</t>
  </si>
  <si>
    <t>THRASSITTY</t>
  </si>
  <si>
    <t>Sanoft Technologies Pvt Ltd</t>
  </si>
  <si>
    <t>THRASSCO SOLUTIONS-TIRUR</t>
  </si>
  <si>
    <t>GOODWILL ENGINEERS CORPORATION</t>
  </si>
  <si>
    <t>CENTRAL TRADERS (New)</t>
  </si>
  <si>
    <t>ANOVA Innovative Solutions</t>
  </si>
  <si>
    <t>AMANA INSTRUMENTS</t>
  </si>
  <si>
    <t>Tamam Scales</t>
  </si>
  <si>
    <t>EMERALD AGENCIES</t>
  </si>
  <si>
    <t>GK ELECTRONICS</t>
  </si>
  <si>
    <t>ACCURATE SCALES</t>
  </si>
  <si>
    <t>Edakara Scales</t>
  </si>
  <si>
    <t>Modern Scales-Kerala</t>
  </si>
  <si>
    <t>MINAR SCALES</t>
  </si>
  <si>
    <t>CALICUT</t>
  </si>
  <si>
    <t>ACE ELECTRONICS</t>
  </si>
  <si>
    <t>GK electronics</t>
  </si>
  <si>
    <t>Weighman &amp; Associates</t>
  </si>
  <si>
    <t>WEIGHING TECH</t>
  </si>
  <si>
    <t>ARYA SCALES - CALICUT</t>
  </si>
  <si>
    <t>AYSHAS WEIGHING INDUSTRY</t>
  </si>
  <si>
    <t>DIYA TECHNOLOGIES</t>
  </si>
  <si>
    <t>MASS TECHNOLOGY</t>
  </si>
  <si>
    <t>Master Systems</t>
  </si>
  <si>
    <t>best weigh technologies</t>
  </si>
  <si>
    <t>V K ELECTRONICS</t>
  </si>
  <si>
    <t>Xpert Scales &amp; Electronics</t>
  </si>
  <si>
    <t>chemind chemicals</t>
  </si>
  <si>
    <t>WAYANAD</t>
  </si>
  <si>
    <t>BEETA SCALES</t>
  </si>
  <si>
    <t>KANNUR</t>
  </si>
  <si>
    <t>ROYAL SCALES</t>
  </si>
  <si>
    <t>TRAAS TECH</t>
  </si>
  <si>
    <t>GOLDEN SCALES</t>
  </si>
  <si>
    <t>Aden Scales Weighing systems and Services</t>
  </si>
  <si>
    <t>AISWARYA SCALES-KANNUR</t>
  </si>
  <si>
    <t>PROFESSIONAL VENTURES</t>
  </si>
  <si>
    <t>Yesweigh System</t>
  </si>
  <si>
    <t>KASARGOD</t>
  </si>
  <si>
    <t>YESWEIGH SOLUTIONS LLP</t>
  </si>
  <si>
    <t>U K WEIGHING SCALE</t>
  </si>
  <si>
    <t>Bharath Scale-Kasargod</t>
  </si>
  <si>
    <t>Malshi scale centre</t>
  </si>
  <si>
    <t>M/S RAMNATH</t>
  </si>
  <si>
    <t>NAME OF DEALERS</t>
  </si>
  <si>
    <t>SALES IN YEAR</t>
  </si>
  <si>
    <t>TOTAL POPULATION</t>
  </si>
  <si>
    <t>34.29L</t>
  </si>
  <si>
    <t>4.3L</t>
  </si>
  <si>
    <t>27.37L</t>
  </si>
  <si>
    <t>12.43L</t>
  </si>
  <si>
    <t>22.01L</t>
  </si>
  <si>
    <t>22.50L</t>
  </si>
  <si>
    <t>11.51L</t>
  </si>
  <si>
    <t>34.09L</t>
  </si>
  <si>
    <t>32.41L</t>
  </si>
  <si>
    <t>29.18L</t>
  </si>
  <si>
    <t>42.72L</t>
  </si>
  <si>
    <t>32.05L</t>
  </si>
  <si>
    <t>8.44L</t>
  </si>
  <si>
    <t>26.20L</t>
  </si>
  <si>
    <t>13.57L</t>
  </si>
  <si>
    <t>3.66L</t>
  </si>
  <si>
    <t>3.43L</t>
  </si>
  <si>
    <t>1.56L</t>
  </si>
  <si>
    <t>2.77L</t>
  </si>
  <si>
    <t>2.57L</t>
  </si>
  <si>
    <t>1.44L</t>
  </si>
  <si>
    <t>4.28L</t>
  </si>
  <si>
    <t>4.07L</t>
  </si>
  <si>
    <t>5.36L</t>
  </si>
  <si>
    <t>4.025L</t>
  </si>
  <si>
    <t>1.06L</t>
  </si>
  <si>
    <t>3.29L</t>
  </si>
  <si>
    <t>1.7L</t>
  </si>
  <si>
    <t xml:space="preserve"> MONTHLY TARGET SALE </t>
  </si>
  <si>
    <t>Current Sales</t>
  </si>
  <si>
    <t>7.33L</t>
  </si>
  <si>
    <t>1.51L</t>
  </si>
  <si>
    <t>1.77L</t>
  </si>
  <si>
    <t>2.41L</t>
  </si>
  <si>
    <t>7.82L</t>
  </si>
  <si>
    <t>3.53L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</si>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</sst>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24"/>
      <color indexed="8"/>
      <name val="Calibri"/>
      <family val="2"/>
      <scheme val="minor"/>
    </font>
    <font>
      <b/>
      <u/>
      <sz val="24"/>
      <color rgb="FFC0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24"/>
      <color rgb="FF004E9A"/>
      <name val="Calibri"/>
      <family val="2"/>
      <scheme val="minor"/>
    </font>
    <font>
      <b/>
      <u/>
      <sz val="11"/>
      <color rgb="FF004E9A"/>
      <name val="Calibri"/>
      <family val="2"/>
      <scheme val="minor"/>
    </font>
    <font>
      <sz val="11"/>
      <color rgb="FF004E9A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u/>
      <sz val="24"/>
      <color rgb="FF00AA48"/>
      <name val="Calibri"/>
      <family val="2"/>
      <scheme val="minor"/>
    </font>
    <font>
      <b/>
      <u/>
      <sz val="11"/>
      <color rgb="FF00AA48"/>
      <name val="Calibri"/>
      <family val="2"/>
      <scheme val="minor"/>
    </font>
    <font>
      <sz val="11"/>
      <color rgb="FF00AA48"/>
      <name val="Calibri"/>
      <family val="2"/>
      <scheme val="minor"/>
    </font>
    <font>
      <b/>
      <sz val="11"/>
      <color rgb="FF00AA4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24"/>
      <color rgb="FF00AA48"/>
      <name val="Calibri"/>
      <family val="2"/>
      <scheme val="minor"/>
    </font>
    <font>
      <b/>
      <sz val="24"/>
      <color rgb="FF004E9A"/>
      <name val="Calibri"/>
      <family val="2"/>
      <scheme val="minor"/>
    </font>
    <font>
      <b/>
      <u/>
      <sz val="24"/>
      <color rgb="FFEE0000"/>
      <name val="Calibri"/>
      <family val="2"/>
      <scheme val="minor"/>
    </font>
    <font>
      <b/>
      <u/>
      <sz val="24"/>
      <color rgb="FF3F0065"/>
      <name val="Calibri"/>
      <family val="2"/>
      <scheme val="minor"/>
    </font>
    <font>
      <sz val="11"/>
      <color rgb="FF3F0065"/>
      <name val="Calibri"/>
      <family val="2"/>
      <scheme val="minor"/>
    </font>
    <font>
      <b/>
      <sz val="11"/>
      <color rgb="FF3F0065"/>
      <name val="Calibri"/>
      <family val="2"/>
      <scheme val="minor"/>
    </font>
    <font>
      <b/>
      <sz val="24"/>
      <color rgb="FF3F0065"/>
      <name val="Calibri"/>
      <family val="2"/>
      <scheme val="minor"/>
    </font>
    <font>
      <b/>
      <u/>
      <sz val="24"/>
      <color rgb="FF4F4F00"/>
      <name val="Calibri"/>
      <family val="2"/>
      <scheme val="minor"/>
    </font>
    <font>
      <b/>
      <u/>
      <sz val="11"/>
      <color rgb="FF4F4F00"/>
      <name val="Calibri"/>
      <family val="2"/>
      <scheme val="minor"/>
    </font>
    <font>
      <sz val="11"/>
      <color rgb="FF4F4F00"/>
      <name val="Calibri"/>
      <family val="2"/>
      <scheme val="minor"/>
    </font>
    <font>
      <b/>
      <sz val="11"/>
      <color rgb="FF4F4F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4F4F00"/>
      <name val="Calibri"/>
      <family val="2"/>
      <scheme val="minor"/>
    </font>
    <font>
      <b/>
      <u/>
      <sz val="24"/>
      <color rgb="FFFF6600"/>
      <name val="Calibri"/>
      <family val="2"/>
      <scheme val="minor"/>
    </font>
    <font>
      <b/>
      <u/>
      <sz val="11"/>
      <color rgb="FFFF6600"/>
      <name val="Calibri"/>
      <family val="2"/>
      <scheme val="minor"/>
    </font>
    <font>
      <sz val="11"/>
      <color rgb="FFFF66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24"/>
      <color rgb="FFFF6600"/>
      <name val="Calibri"/>
      <family val="2"/>
      <scheme val="minor"/>
    </font>
    <font>
      <b/>
      <u/>
      <sz val="24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24"/>
      <color theme="9" tint="-0.499984740745262"/>
      <name val="Calibri"/>
      <family val="2"/>
      <scheme val="minor"/>
    </font>
    <font>
      <b/>
      <u/>
      <sz val="24"/>
      <color theme="4" tint="-0.499984740745262"/>
      <name val="Calibri"/>
      <family val="2"/>
      <scheme val="minor"/>
    </font>
    <font>
      <b/>
      <u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u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u/>
      <sz val="11"/>
      <color rgb="FF501000"/>
      <name val="Calibri"/>
      <family val="2"/>
      <scheme val="minor"/>
    </font>
    <font>
      <b/>
      <u/>
      <sz val="24"/>
      <color rgb="FF501000"/>
      <name val="Calibri"/>
      <family val="2"/>
      <scheme val="minor"/>
    </font>
    <font>
      <b/>
      <sz val="24"/>
      <color rgb="FF501000"/>
      <name val="Calibri"/>
      <family val="2"/>
      <scheme val="minor"/>
    </font>
    <font>
      <sz val="11"/>
      <color rgb="FF501000"/>
      <name val="Calibri"/>
      <family val="2"/>
      <scheme val="minor"/>
    </font>
    <font>
      <b/>
      <sz val="11"/>
      <color rgb="FF501000"/>
      <name val="Calibri"/>
      <family val="2"/>
      <scheme val="minor"/>
    </font>
    <font>
      <b/>
      <u/>
      <sz val="24"/>
      <color rgb="FF60A500"/>
      <name val="Calibri"/>
      <family val="2"/>
      <scheme val="minor"/>
    </font>
    <font>
      <sz val="11"/>
      <color rgb="FF60A500"/>
      <name val="Calibri"/>
      <family val="2"/>
      <scheme val="minor"/>
    </font>
    <font>
      <b/>
      <sz val="11"/>
      <color rgb="FF60A500"/>
      <name val="Calibri"/>
      <family val="2"/>
      <scheme val="minor"/>
    </font>
    <font>
      <b/>
      <sz val="24"/>
      <color rgb="FF60A500"/>
      <name val="Calibri"/>
      <family val="2"/>
      <scheme val="minor"/>
    </font>
    <font>
      <b/>
      <u/>
      <sz val="24"/>
      <color rgb="FF007BB8"/>
      <name val="Calibri"/>
      <family val="2"/>
      <scheme val="minor"/>
    </font>
    <font>
      <b/>
      <u/>
      <sz val="11"/>
      <color rgb="FF007BB8"/>
      <name val="Calibri"/>
      <family val="2"/>
      <scheme val="minor"/>
    </font>
    <font>
      <sz val="11"/>
      <color rgb="FF007BB8"/>
      <name val="Calibri"/>
      <family val="2"/>
      <scheme val="minor"/>
    </font>
    <font>
      <b/>
      <sz val="24"/>
      <color rgb="FF007BB8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u/>
      <sz val="24"/>
      <color theme="7" tint="-0.249977111117893"/>
      <name val="Calibri"/>
      <family val="2"/>
      <scheme val="minor"/>
    </font>
    <font>
      <b/>
      <u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4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10067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8" fillId="0" borderId="1" xfId="1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8" fillId="2" borderId="1" xfId="0" applyFont="1" applyFill="1" applyBorder="1" applyAlignment="1">
      <alignment horizontal="center"/>
    </xf>
    <xf numFmtId="43" fontId="7" fillId="2" borderId="1" xfId="1" applyFont="1" applyFill="1" applyBorder="1" applyAlignment="1">
      <alignment horizontal="center" vertical="center"/>
    </xf>
    <xf numFmtId="0" fontId="10" fillId="0" borderId="1" xfId="0" applyFont="1" applyBorder="1"/>
    <xf numFmtId="43" fontId="11" fillId="0" borderId="1" xfId="1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43" fontId="11" fillId="0" borderId="1" xfId="1" applyFont="1" applyBorder="1" applyAlignment="1">
      <alignment vertical="center"/>
    </xf>
    <xf numFmtId="0" fontId="14" fillId="0" borderId="1" xfId="0" applyFont="1" applyBorder="1"/>
    <xf numFmtId="43" fontId="15" fillId="0" borderId="1" xfId="1" applyFont="1" applyBorder="1" applyAlignment="1">
      <alignment horizontal="center" vertical="center"/>
    </xf>
    <xf numFmtId="43" fontId="16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center" vertical="center"/>
    </xf>
    <xf numFmtId="0" fontId="17" fillId="2" borderId="1" xfId="0" applyFont="1" applyFill="1" applyBorder="1"/>
    <xf numFmtId="43" fontId="18" fillId="2" borderId="1" xfId="1" applyFont="1" applyFill="1" applyBorder="1" applyAlignment="1">
      <alignment vertical="center"/>
    </xf>
    <xf numFmtId="0" fontId="23" fillId="0" borderId="1" xfId="0" applyFont="1" applyBorder="1"/>
    <xf numFmtId="43" fontId="23" fillId="0" borderId="1" xfId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2" borderId="1" xfId="0" applyFont="1" applyFill="1" applyBorder="1"/>
    <xf numFmtId="43" fontId="24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7" fillId="0" borderId="1" xfId="0" applyFont="1" applyBorder="1"/>
    <xf numFmtId="43" fontId="28" fillId="0" borderId="1" xfId="1" applyFont="1" applyBorder="1" applyAlignment="1">
      <alignment horizontal="center" vertical="center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43" fontId="29" fillId="2" borderId="1" xfId="1" applyFont="1" applyFill="1" applyBorder="1" applyAlignment="1">
      <alignment horizontal="center" vertical="center"/>
    </xf>
    <xf numFmtId="0" fontId="28" fillId="2" borderId="1" xfId="0" applyFont="1" applyFill="1" applyBorder="1"/>
    <xf numFmtId="0" fontId="38" fillId="0" borderId="1" xfId="0" applyFont="1" applyBorder="1"/>
    <xf numFmtId="43" fontId="39" fillId="0" borderId="1" xfId="1" applyFont="1" applyBorder="1" applyAlignment="1">
      <alignment horizontal="center" vertical="center"/>
    </xf>
    <xf numFmtId="0" fontId="39" fillId="0" borderId="1" xfId="0" applyFont="1" applyBorder="1"/>
    <xf numFmtId="0" fontId="39" fillId="0" borderId="1" xfId="0" applyFont="1" applyBorder="1" applyAlignment="1">
      <alignment horizontal="center"/>
    </xf>
    <xf numFmtId="0" fontId="39" fillId="2" borderId="1" xfId="0" applyFont="1" applyFill="1" applyBorder="1"/>
    <xf numFmtId="43" fontId="40" fillId="2" borderId="1" xfId="1" applyFont="1" applyFill="1" applyBorder="1" applyAlignment="1">
      <alignment horizontal="center" vertical="center"/>
    </xf>
    <xf numFmtId="0" fontId="33" fillId="0" borderId="1" xfId="0" applyFont="1" applyBorder="1"/>
    <xf numFmtId="43" fontId="34" fillId="0" borderId="1" xfId="1" applyFont="1" applyBorder="1" applyAlignment="1">
      <alignment horizontal="center" vertical="center"/>
    </xf>
    <xf numFmtId="0" fontId="34" fillId="0" borderId="1" xfId="0" applyFont="1" applyBorder="1"/>
    <xf numFmtId="0" fontId="34" fillId="0" borderId="1" xfId="0" applyFont="1" applyBorder="1" applyAlignment="1">
      <alignment horizontal="center"/>
    </xf>
    <xf numFmtId="0" fontId="35" fillId="2" borderId="1" xfId="0" applyFont="1" applyFill="1" applyBorder="1"/>
    <xf numFmtId="43" fontId="35" fillId="2" borderId="1" xfId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43" fontId="44" fillId="0" borderId="1" xfId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2" borderId="1" xfId="0" applyFont="1" applyFill="1" applyBorder="1"/>
    <xf numFmtId="43" fontId="45" fillId="2" borderId="1" xfId="1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43" fontId="48" fillId="0" borderId="1" xfId="1" applyFont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43" fontId="49" fillId="2" borderId="1" xfId="1" applyFont="1" applyFill="1" applyBorder="1" applyAlignment="1">
      <alignment horizontal="center" vertical="center"/>
    </xf>
    <xf numFmtId="0" fontId="51" fillId="0" borderId="1" xfId="0" applyFont="1" applyBorder="1"/>
    <xf numFmtId="43" fontId="54" fillId="0" borderId="1" xfId="1" applyFont="1" applyBorder="1" applyAlignment="1">
      <alignment horizontal="center" vertical="center"/>
    </xf>
    <xf numFmtId="0" fontId="54" fillId="0" borderId="1" xfId="0" applyFont="1" applyBorder="1" applyAlignment="1">
      <alignment vertical="center"/>
    </xf>
    <xf numFmtId="0" fontId="54" fillId="0" borderId="1" xfId="0" applyFont="1" applyBorder="1" applyAlignment="1">
      <alignment horizontal="center" vertical="center"/>
    </xf>
    <xf numFmtId="43" fontId="54" fillId="0" borderId="1" xfId="1" applyFont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43" fontId="55" fillId="2" borderId="1" xfId="1" applyFont="1" applyFill="1" applyBorder="1" applyAlignment="1">
      <alignment horizontal="center" vertical="center"/>
    </xf>
    <xf numFmtId="0" fontId="0" fillId="2" borderId="1" xfId="0" applyFill="1" applyBorder="1"/>
    <xf numFmtId="43" fontId="3" fillId="2" borderId="1" xfId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43" fontId="57" fillId="0" borderId="1" xfId="1" applyFont="1" applyBorder="1" applyAlignment="1">
      <alignment horizontal="center" vertical="center"/>
    </xf>
    <xf numFmtId="0" fontId="57" fillId="2" borderId="1" xfId="0" applyFont="1" applyFill="1" applyBorder="1"/>
    <xf numFmtId="43" fontId="58" fillId="2" borderId="1" xfId="1" applyFont="1" applyFill="1" applyBorder="1" applyAlignment="1">
      <alignment horizontal="center" vertical="center"/>
    </xf>
    <xf numFmtId="0" fontId="61" fillId="0" borderId="1" xfId="0" applyFont="1" applyBorder="1"/>
    <xf numFmtId="43" fontId="62" fillId="0" borderId="1" xfId="1" applyFont="1" applyBorder="1" applyAlignment="1">
      <alignment horizontal="center" vertical="center"/>
    </xf>
    <xf numFmtId="0" fontId="62" fillId="0" borderId="1" xfId="0" applyFont="1" applyBorder="1"/>
    <xf numFmtId="0" fontId="62" fillId="0" borderId="1" xfId="0" applyFont="1" applyBorder="1" applyAlignment="1">
      <alignment horizontal="center"/>
    </xf>
    <xf numFmtId="43" fontId="64" fillId="0" borderId="1" xfId="1" applyFont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43" fontId="67" fillId="0" borderId="1" xfId="1" applyFont="1" applyBorder="1" applyAlignment="1">
      <alignment horizontal="center" vertical="center"/>
    </xf>
    <xf numFmtId="0" fontId="67" fillId="0" borderId="1" xfId="0" applyFont="1" applyBorder="1" applyAlignment="1">
      <alignment horizontal="center"/>
    </xf>
    <xf numFmtId="0" fontId="67" fillId="2" borderId="1" xfId="0" applyFont="1" applyFill="1" applyBorder="1"/>
    <xf numFmtId="43" fontId="68" fillId="2" borderId="1" xfId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43" fontId="16" fillId="3" borderId="1" xfId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43" fontId="34" fillId="3" borderId="1" xfId="1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/>
    </xf>
    <xf numFmtId="43" fontId="70" fillId="3" borderId="1" xfId="1" applyFont="1" applyFill="1" applyBorder="1" applyAlignment="1">
      <alignment horizontal="center" vertical="center"/>
    </xf>
    <xf numFmtId="43" fontId="44" fillId="3" borderId="1" xfId="1" applyFont="1" applyFill="1" applyBorder="1" applyAlignment="1">
      <alignment horizontal="center" vertical="center"/>
    </xf>
    <xf numFmtId="43" fontId="54" fillId="3" borderId="1" xfId="1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/>
    </xf>
    <xf numFmtId="43" fontId="57" fillId="3" borderId="1" xfId="1" applyFont="1" applyFill="1" applyBorder="1" applyAlignment="1">
      <alignment horizontal="center" vertical="center"/>
    </xf>
    <xf numFmtId="0" fontId="67" fillId="3" borderId="1" xfId="0" applyFont="1" applyFill="1" applyBorder="1" applyAlignment="1">
      <alignment horizontal="center"/>
    </xf>
    <xf numFmtId="43" fontId="67" fillId="3" borderId="1" xfId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/>
    </xf>
    <xf numFmtId="43" fontId="28" fillId="4" borderId="1" xfId="1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/>
    </xf>
    <xf numFmtId="0" fontId="48" fillId="4" borderId="1" xfId="0" applyFont="1" applyFill="1" applyBorder="1" applyAlignment="1">
      <alignment horizontal="center"/>
    </xf>
    <xf numFmtId="43" fontId="48" fillId="4" borderId="1" xfId="1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43" fontId="54" fillId="4" borderId="1" xfId="1" applyFont="1" applyFill="1" applyBorder="1" applyAlignment="1">
      <alignment horizontal="center" vertical="center"/>
    </xf>
    <xf numFmtId="0" fontId="70" fillId="3" borderId="1" xfId="0" applyFont="1" applyFill="1" applyBorder="1"/>
    <xf numFmtId="0" fontId="30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3" fontId="59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3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3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3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3" fontId="50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3" fontId="53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3" fontId="63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3" fontId="69" fillId="0" borderId="1" xfId="0" applyNumberFormat="1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F14C-E35D-4B6F-B8DE-89619166F2F9}">
  <dimension ref="A1:F168"/>
  <sheetViews>
    <sheetView tabSelected="1" topLeftCell="A149" zoomScale="72" zoomScaleNormal="72" workbookViewId="0">
      <selection activeCell="C159" sqref="C159"/>
    </sheetView>
  </sheetViews>
  <sheetFormatPr defaultRowHeight="14.5" x14ac:dyDescent="0.35"/>
  <cols>
    <col min="1" max="1" width="37.453125" customWidth="1"/>
    <col min="2" max="2" width="47.453125" customWidth="1"/>
    <col min="3" max="3" width="19.453125" style="2" customWidth="1"/>
    <col min="4" max="4" width="20.1796875" style="1" bestFit="1" customWidth="1"/>
    <col min="5" max="5" width="23.7265625" customWidth="1"/>
    <col min="6" max="6" width="16.453125" customWidth="1"/>
  </cols>
  <sheetData>
    <row r="1" spans="1:6" ht="14.5" customHeight="1" x14ac:dyDescent="0.35">
      <c r="A1" s="29" t="s">
        <v>178</v>
      </c>
      <c r="B1" s="29" t="s">
        <v>139</v>
      </c>
      <c r="C1" s="10" t="s">
        <v>140</v>
      </c>
      <c r="D1" s="29" t="s">
        <v>141</v>
      </c>
      <c r="E1" s="81" t="s">
        <v>170</v>
      </c>
      <c r="F1" s="82" t="s">
        <v>171</v>
      </c>
    </row>
    <row r="2" spans="1:6" ht="14.5" customHeight="1" x14ac:dyDescent="0.35">
      <c r="A2" s="149" t="s">
        <v>0</v>
      </c>
      <c r="B2" s="5" t="s">
        <v>1</v>
      </c>
      <c r="C2" s="6">
        <v>8511156.3399999999</v>
      </c>
      <c r="D2" s="105" t="s">
        <v>142</v>
      </c>
      <c r="E2" s="104" t="s">
        <v>143</v>
      </c>
      <c r="F2" s="104" t="s">
        <v>172</v>
      </c>
    </row>
    <row r="3" spans="1:6" ht="14.5" customHeight="1" x14ac:dyDescent="0.35">
      <c r="A3" s="150"/>
      <c r="B3" s="5" t="s">
        <v>2</v>
      </c>
      <c r="C3" s="6">
        <v>259736.7</v>
      </c>
      <c r="D3" s="106"/>
      <c r="E3" s="104"/>
      <c r="F3" s="104"/>
    </row>
    <row r="4" spans="1:6" ht="14.5" customHeight="1" x14ac:dyDescent="0.35">
      <c r="A4" s="150"/>
      <c r="B4" s="5" t="s">
        <v>3</v>
      </c>
      <c r="C4" s="6">
        <v>20913.66</v>
      </c>
      <c r="D4" s="106"/>
      <c r="E4" s="104"/>
      <c r="F4" s="104"/>
    </row>
    <row r="5" spans="1:6" ht="14.5" customHeight="1" x14ac:dyDescent="0.35">
      <c r="A5" s="150"/>
      <c r="B5" s="5" t="s">
        <v>4</v>
      </c>
      <c r="C5" s="6">
        <v>14711.84</v>
      </c>
      <c r="D5" s="106"/>
      <c r="E5" s="104"/>
      <c r="F5" s="104"/>
    </row>
    <row r="6" spans="1:6" ht="14.5" customHeight="1" x14ac:dyDescent="0.35">
      <c r="A6" s="150"/>
      <c r="B6" s="5" t="s">
        <v>5</v>
      </c>
      <c r="C6" s="6">
        <v>584.70000000000005</v>
      </c>
      <c r="D6" s="106"/>
      <c r="E6" s="104"/>
      <c r="F6" s="104"/>
    </row>
    <row r="7" spans="1:6" ht="14.5" customHeight="1" x14ac:dyDescent="0.35">
      <c r="A7" s="150"/>
      <c r="B7" s="5"/>
      <c r="C7" s="6"/>
      <c r="D7" s="106"/>
      <c r="E7" s="104"/>
      <c r="F7" s="104"/>
    </row>
    <row r="8" spans="1:6" ht="14.5" customHeight="1" x14ac:dyDescent="0.35">
      <c r="A8" s="151"/>
      <c r="B8" s="9"/>
      <c r="C8" s="10">
        <f>SUM(C2:C6)</f>
        <v>8807103.2399999984</v>
      </c>
      <c r="D8" s="106"/>
      <c r="E8" s="104"/>
      <c r="F8" s="104"/>
    </row>
    <row r="9" spans="1:6" ht="15" customHeight="1" x14ac:dyDescent="0.35">
      <c r="A9" s="107" t="s">
        <v>6</v>
      </c>
      <c r="B9" s="11"/>
      <c r="C9" s="12"/>
      <c r="D9" s="108" t="s">
        <v>144</v>
      </c>
      <c r="E9" s="104" t="s">
        <v>158</v>
      </c>
      <c r="F9" s="104" t="s">
        <v>173</v>
      </c>
    </row>
    <row r="10" spans="1:6" ht="15" customHeight="1" x14ac:dyDescent="0.35">
      <c r="A10" s="107"/>
      <c r="B10" s="13"/>
      <c r="C10" s="12"/>
      <c r="D10" s="109"/>
      <c r="E10" s="104"/>
      <c r="F10" s="104"/>
    </row>
    <row r="11" spans="1:6" ht="15" customHeight="1" x14ac:dyDescent="0.35">
      <c r="A11" s="107"/>
      <c r="B11" s="14" t="s">
        <v>7</v>
      </c>
      <c r="C11" s="15">
        <v>1400224.08</v>
      </c>
      <c r="D11" s="109"/>
      <c r="E11" s="104"/>
      <c r="F11" s="104"/>
    </row>
    <row r="12" spans="1:6" ht="15" customHeight="1" x14ac:dyDescent="0.35">
      <c r="A12" s="107"/>
      <c r="B12" s="14" t="s">
        <v>8</v>
      </c>
      <c r="C12" s="15">
        <v>194587.16</v>
      </c>
      <c r="D12" s="109"/>
      <c r="E12" s="104"/>
      <c r="F12" s="104"/>
    </row>
    <row r="13" spans="1:6" ht="15" customHeight="1" x14ac:dyDescent="0.35">
      <c r="A13" s="107"/>
      <c r="B13" s="14" t="s">
        <v>9</v>
      </c>
      <c r="C13" s="15">
        <v>138682.23999999999</v>
      </c>
      <c r="D13" s="109"/>
      <c r="E13" s="104"/>
      <c r="F13" s="104"/>
    </row>
    <row r="14" spans="1:6" ht="15" customHeight="1" x14ac:dyDescent="0.35">
      <c r="A14" s="107"/>
      <c r="B14" s="14" t="s">
        <v>10</v>
      </c>
      <c r="C14" s="15">
        <v>27414.48</v>
      </c>
      <c r="D14" s="109"/>
      <c r="E14" s="104"/>
      <c r="F14" s="104"/>
    </row>
    <row r="15" spans="1:6" ht="15" customHeight="1" x14ac:dyDescent="0.35">
      <c r="A15" s="107"/>
      <c r="B15" s="14" t="s">
        <v>11</v>
      </c>
      <c r="C15" s="15">
        <v>20861.84</v>
      </c>
      <c r="D15" s="109"/>
      <c r="E15" s="104"/>
      <c r="F15" s="104"/>
    </row>
    <row r="16" spans="1:6" ht="15" customHeight="1" x14ac:dyDescent="0.35">
      <c r="A16" s="107"/>
      <c r="B16" s="14" t="s">
        <v>12</v>
      </c>
      <c r="C16" s="15">
        <v>19794.080000000002</v>
      </c>
      <c r="D16" s="109"/>
      <c r="E16" s="104"/>
      <c r="F16" s="104"/>
    </row>
    <row r="17" spans="1:6" ht="15" customHeight="1" x14ac:dyDescent="0.35">
      <c r="A17" s="107"/>
      <c r="B17" s="14" t="s">
        <v>13</v>
      </c>
      <c r="C17" s="15">
        <v>10355.1</v>
      </c>
      <c r="D17" s="109"/>
      <c r="E17" s="104"/>
      <c r="F17" s="104"/>
    </row>
    <row r="18" spans="1:6" ht="15" customHeight="1" x14ac:dyDescent="0.35">
      <c r="A18" s="107"/>
      <c r="B18" s="14" t="s">
        <v>14</v>
      </c>
      <c r="C18" s="15">
        <v>8798.36</v>
      </c>
      <c r="D18" s="109"/>
      <c r="E18" s="104"/>
      <c r="F18" s="104"/>
    </row>
    <row r="19" spans="1:6" ht="15" customHeight="1" x14ac:dyDescent="0.35">
      <c r="A19" s="107"/>
      <c r="B19" s="14" t="s">
        <v>15</v>
      </c>
      <c r="C19" s="15">
        <v>770.4</v>
      </c>
      <c r="D19" s="109"/>
      <c r="E19" s="104"/>
      <c r="F19" s="104"/>
    </row>
    <row r="20" spans="1:6" x14ac:dyDescent="0.35">
      <c r="A20" s="107"/>
      <c r="B20" s="22"/>
      <c r="C20" s="23">
        <f>SUM(C11:C19)</f>
        <v>1821487.7400000002</v>
      </c>
      <c r="D20" s="109"/>
      <c r="E20" s="104"/>
      <c r="F20" s="104"/>
    </row>
    <row r="21" spans="1:6" x14ac:dyDescent="0.35">
      <c r="A21" s="110" t="s">
        <v>16</v>
      </c>
      <c r="B21" s="16"/>
      <c r="C21" s="17"/>
      <c r="D21" s="111" t="s">
        <v>145</v>
      </c>
      <c r="E21" s="104" t="s">
        <v>159</v>
      </c>
      <c r="F21" s="104">
        <v>2420</v>
      </c>
    </row>
    <row r="22" spans="1:6" x14ac:dyDescent="0.35">
      <c r="A22" s="110"/>
      <c r="B22" s="19"/>
      <c r="C22" s="18"/>
      <c r="D22" s="112"/>
      <c r="E22" s="104"/>
      <c r="F22" s="104"/>
    </row>
    <row r="23" spans="1:6" x14ac:dyDescent="0.35">
      <c r="A23" s="110"/>
      <c r="B23" s="83" t="s">
        <v>17</v>
      </c>
      <c r="C23" s="84">
        <v>19755.099999999999</v>
      </c>
      <c r="D23" s="112"/>
      <c r="E23" s="104"/>
      <c r="F23" s="104"/>
    </row>
    <row r="24" spans="1:6" x14ac:dyDescent="0.35">
      <c r="A24" s="110"/>
      <c r="B24" s="19" t="s">
        <v>18</v>
      </c>
      <c r="C24" s="18">
        <v>9288.16</v>
      </c>
      <c r="D24" s="112"/>
      <c r="E24" s="104"/>
      <c r="F24" s="104"/>
    </row>
    <row r="25" spans="1:6" x14ac:dyDescent="0.35">
      <c r="A25" s="110"/>
      <c r="B25" s="20"/>
      <c r="C25" s="21">
        <f>SUM(C23:C24)</f>
        <v>29043.26</v>
      </c>
      <c r="D25" s="112"/>
      <c r="E25" s="104"/>
      <c r="F25" s="104"/>
    </row>
    <row r="26" spans="1:6" ht="15" customHeight="1" x14ac:dyDescent="0.35">
      <c r="A26" s="115" t="s">
        <v>19</v>
      </c>
      <c r="B26" s="7"/>
      <c r="C26" s="4"/>
      <c r="D26" s="113" t="s">
        <v>146</v>
      </c>
      <c r="E26" s="104" t="s">
        <v>160</v>
      </c>
      <c r="F26" s="147">
        <v>66239</v>
      </c>
    </row>
    <row r="27" spans="1:6" ht="15" customHeight="1" x14ac:dyDescent="0.35">
      <c r="A27" s="115"/>
      <c r="B27" s="24"/>
      <c r="C27" s="25"/>
      <c r="D27" s="114"/>
      <c r="E27" s="104"/>
      <c r="F27" s="147"/>
    </row>
    <row r="28" spans="1:6" ht="15" customHeight="1" x14ac:dyDescent="0.35">
      <c r="A28" s="115"/>
      <c r="B28" s="26" t="s">
        <v>20</v>
      </c>
      <c r="C28" s="25">
        <v>586592.4</v>
      </c>
      <c r="D28" s="114"/>
      <c r="E28" s="104"/>
      <c r="F28" s="147"/>
    </row>
    <row r="29" spans="1:6" ht="15" customHeight="1" x14ac:dyDescent="0.35">
      <c r="A29" s="115"/>
      <c r="B29" s="26" t="s">
        <v>21</v>
      </c>
      <c r="C29" s="25">
        <v>40915.120000000003</v>
      </c>
      <c r="D29" s="114"/>
      <c r="E29" s="104"/>
      <c r="F29" s="147"/>
    </row>
    <row r="30" spans="1:6" ht="15" customHeight="1" x14ac:dyDescent="0.35">
      <c r="A30" s="115"/>
      <c r="B30" s="26" t="s">
        <v>22</v>
      </c>
      <c r="C30" s="25">
        <v>39471.22</v>
      </c>
      <c r="D30" s="114"/>
      <c r="E30" s="104"/>
      <c r="F30" s="147"/>
    </row>
    <row r="31" spans="1:6" ht="15" customHeight="1" x14ac:dyDescent="0.35">
      <c r="A31" s="115"/>
      <c r="B31" s="26" t="s">
        <v>23</v>
      </c>
      <c r="C31" s="25">
        <v>36268.76</v>
      </c>
      <c r="D31" s="114"/>
      <c r="E31" s="104"/>
      <c r="F31" s="147"/>
    </row>
    <row r="32" spans="1:6" ht="15" customHeight="1" x14ac:dyDescent="0.35">
      <c r="A32" s="115"/>
      <c r="B32" s="26" t="s">
        <v>24</v>
      </c>
      <c r="C32" s="25">
        <v>30179.599999999999</v>
      </c>
      <c r="D32" s="114"/>
      <c r="E32" s="104"/>
      <c r="F32" s="147"/>
    </row>
    <row r="33" spans="1:6" ht="15" customHeight="1" x14ac:dyDescent="0.35">
      <c r="A33" s="115"/>
      <c r="B33" s="26" t="s">
        <v>25</v>
      </c>
      <c r="C33" s="25">
        <v>27089.8</v>
      </c>
      <c r="D33" s="114"/>
      <c r="E33" s="104"/>
      <c r="F33" s="147"/>
    </row>
    <row r="34" spans="1:6" ht="15" customHeight="1" x14ac:dyDescent="0.35">
      <c r="A34" s="115"/>
      <c r="B34" s="26" t="s">
        <v>26</v>
      </c>
      <c r="C34" s="25">
        <v>9298.36</v>
      </c>
      <c r="D34" s="114"/>
      <c r="E34" s="104"/>
      <c r="F34" s="147"/>
    </row>
    <row r="35" spans="1:6" ht="15" customHeight="1" x14ac:dyDescent="0.35">
      <c r="A35" s="115"/>
      <c r="B35" s="26" t="s">
        <v>27</v>
      </c>
      <c r="C35" s="25">
        <v>8998.36</v>
      </c>
      <c r="D35" s="114"/>
      <c r="E35" s="104"/>
      <c r="F35" s="147"/>
    </row>
    <row r="36" spans="1:6" ht="15" customHeight="1" x14ac:dyDescent="0.35">
      <c r="A36" s="115"/>
      <c r="B36" s="26" t="s">
        <v>28</v>
      </c>
      <c r="C36" s="25">
        <v>7815.3</v>
      </c>
      <c r="D36" s="114"/>
      <c r="E36" s="104"/>
      <c r="F36" s="147"/>
    </row>
    <row r="37" spans="1:6" ht="15" customHeight="1" x14ac:dyDescent="0.35">
      <c r="A37" s="115"/>
      <c r="B37" s="26" t="s">
        <v>29</v>
      </c>
      <c r="C37" s="25">
        <v>4793.26</v>
      </c>
      <c r="D37" s="114"/>
      <c r="E37" s="104"/>
      <c r="F37" s="147"/>
    </row>
    <row r="38" spans="1:6" ht="15" customHeight="1" x14ac:dyDescent="0.35">
      <c r="A38" s="115"/>
      <c r="B38" s="26" t="s">
        <v>30</v>
      </c>
      <c r="C38" s="25">
        <v>3450</v>
      </c>
      <c r="D38" s="114"/>
      <c r="E38" s="104"/>
      <c r="F38" s="147"/>
    </row>
    <row r="39" spans="1:6" x14ac:dyDescent="0.35">
      <c r="A39" s="115"/>
      <c r="B39" s="27"/>
      <c r="C39" s="28">
        <f>SUM(C28:C38)</f>
        <v>794872.18</v>
      </c>
      <c r="D39" s="114"/>
      <c r="E39" s="104"/>
      <c r="F39" s="147"/>
    </row>
    <row r="40" spans="1:6" ht="15" customHeight="1" x14ac:dyDescent="0.35">
      <c r="A40" s="118" t="s">
        <v>31</v>
      </c>
      <c r="B40" s="30"/>
      <c r="C40" s="31"/>
      <c r="D40" s="116" t="s">
        <v>147</v>
      </c>
      <c r="E40" s="104" t="s">
        <v>161</v>
      </c>
      <c r="F40" s="104" t="s">
        <v>174</v>
      </c>
    </row>
    <row r="41" spans="1:6" ht="15" customHeight="1" x14ac:dyDescent="0.35">
      <c r="A41" s="118"/>
      <c r="B41" s="32"/>
      <c r="C41" s="31"/>
      <c r="D41" s="117"/>
      <c r="E41" s="104"/>
      <c r="F41" s="104"/>
    </row>
    <row r="42" spans="1:6" ht="15" customHeight="1" x14ac:dyDescent="0.35">
      <c r="A42" s="118"/>
      <c r="B42" s="33" t="s">
        <v>32</v>
      </c>
      <c r="C42" s="31">
        <v>1771933.66</v>
      </c>
      <c r="D42" s="117"/>
      <c r="E42" s="104"/>
      <c r="F42" s="104"/>
    </row>
    <row r="43" spans="1:6" ht="15" customHeight="1" x14ac:dyDescent="0.35">
      <c r="A43" s="118"/>
      <c r="B43" s="96" t="s">
        <v>33</v>
      </c>
      <c r="C43" s="97">
        <v>156835.24</v>
      </c>
      <c r="D43" s="117"/>
      <c r="E43" s="104"/>
      <c r="F43" s="104"/>
    </row>
    <row r="44" spans="1:6" ht="15" customHeight="1" x14ac:dyDescent="0.35">
      <c r="A44" s="118"/>
      <c r="B44" s="33" t="s">
        <v>34</v>
      </c>
      <c r="C44" s="31">
        <v>152017.12</v>
      </c>
      <c r="D44" s="117"/>
      <c r="E44" s="104"/>
      <c r="F44" s="104"/>
    </row>
    <row r="45" spans="1:6" ht="15" customHeight="1" x14ac:dyDescent="0.35">
      <c r="A45" s="118"/>
      <c r="B45" s="87" t="s">
        <v>35</v>
      </c>
      <c r="C45" s="88">
        <v>32859.379999999997</v>
      </c>
      <c r="D45" s="117"/>
      <c r="E45" s="104"/>
      <c r="F45" s="104"/>
    </row>
    <row r="46" spans="1:6" ht="15" customHeight="1" x14ac:dyDescent="0.35">
      <c r="A46" s="118"/>
      <c r="B46" s="33" t="s">
        <v>36</v>
      </c>
      <c r="C46" s="31">
        <v>18429.78</v>
      </c>
      <c r="D46" s="117"/>
      <c r="E46" s="104"/>
      <c r="F46" s="104"/>
    </row>
    <row r="47" spans="1:6" x14ac:dyDescent="0.35">
      <c r="A47" s="118"/>
      <c r="B47" s="35"/>
      <c r="C47" s="34">
        <f>SUM(C42:C46)</f>
        <v>2132075.1799999997</v>
      </c>
      <c r="D47" s="117"/>
      <c r="E47" s="104"/>
      <c r="F47" s="104"/>
    </row>
    <row r="48" spans="1:6" x14ac:dyDescent="0.35">
      <c r="A48" s="124" t="s">
        <v>37</v>
      </c>
      <c r="B48" s="42"/>
      <c r="C48" s="43"/>
      <c r="D48" s="125" t="s">
        <v>148</v>
      </c>
      <c r="E48" s="104" t="s">
        <v>162</v>
      </c>
      <c r="F48" s="104">
        <v>19317</v>
      </c>
    </row>
    <row r="49" spans="1:6" x14ac:dyDescent="0.35">
      <c r="A49" s="124"/>
      <c r="B49" s="44"/>
      <c r="C49" s="43"/>
      <c r="D49" s="126"/>
      <c r="E49" s="104"/>
      <c r="F49" s="104"/>
    </row>
    <row r="50" spans="1:6" x14ac:dyDescent="0.35">
      <c r="A50" s="124"/>
      <c r="B50" s="85" t="s">
        <v>38</v>
      </c>
      <c r="C50" s="86">
        <v>142308.1</v>
      </c>
      <c r="D50" s="126"/>
      <c r="E50" s="104"/>
      <c r="F50" s="104"/>
    </row>
    <row r="51" spans="1:6" x14ac:dyDescent="0.35">
      <c r="A51" s="124"/>
      <c r="B51" s="45" t="s">
        <v>39</v>
      </c>
      <c r="C51" s="43">
        <v>64414.48</v>
      </c>
      <c r="D51" s="126"/>
      <c r="E51" s="104"/>
      <c r="F51" s="104"/>
    </row>
    <row r="52" spans="1:6" x14ac:dyDescent="0.35">
      <c r="A52" s="124"/>
      <c r="B52" s="45" t="s">
        <v>54</v>
      </c>
      <c r="C52" s="43">
        <v>14535.52</v>
      </c>
      <c r="D52" s="126"/>
      <c r="E52" s="104"/>
      <c r="F52" s="104"/>
    </row>
    <row r="53" spans="1:6" x14ac:dyDescent="0.35">
      <c r="A53" s="124"/>
      <c r="B53" s="45" t="s">
        <v>40</v>
      </c>
      <c r="C53" s="43">
        <v>8062.66</v>
      </c>
      <c r="D53" s="126"/>
      <c r="E53" s="104"/>
      <c r="F53" s="104"/>
    </row>
    <row r="54" spans="1:6" x14ac:dyDescent="0.35">
      <c r="A54" s="124"/>
      <c r="B54" s="45" t="s">
        <v>58</v>
      </c>
      <c r="C54" s="43">
        <v>2484.6999999999998</v>
      </c>
      <c r="D54" s="126"/>
      <c r="E54" s="104"/>
      <c r="F54" s="104"/>
    </row>
    <row r="55" spans="1:6" x14ac:dyDescent="0.35">
      <c r="A55" s="124"/>
      <c r="B55" s="46"/>
      <c r="C55" s="47">
        <f>SUM(C50:C54)</f>
        <v>231805.46000000002</v>
      </c>
      <c r="D55" s="126"/>
      <c r="E55" s="104"/>
      <c r="F55" s="104"/>
    </row>
    <row r="56" spans="1:6" ht="15" customHeight="1" x14ac:dyDescent="0.35">
      <c r="A56" s="129" t="s">
        <v>41</v>
      </c>
      <c r="B56" s="36"/>
      <c r="C56" s="37"/>
      <c r="D56" s="127" t="s">
        <v>149</v>
      </c>
      <c r="E56" s="104" t="s">
        <v>163</v>
      </c>
      <c r="F56" s="104" t="s">
        <v>164</v>
      </c>
    </row>
    <row r="57" spans="1:6" ht="15" customHeight="1" x14ac:dyDescent="0.35">
      <c r="A57" s="129"/>
      <c r="B57" s="38"/>
      <c r="C57" s="37"/>
      <c r="D57" s="128"/>
      <c r="E57" s="104"/>
      <c r="F57" s="104"/>
    </row>
    <row r="58" spans="1:6" ht="15" customHeight="1" x14ac:dyDescent="0.35">
      <c r="A58" s="129"/>
      <c r="B58" s="39" t="s">
        <v>42</v>
      </c>
      <c r="C58" s="37">
        <v>2113915.36</v>
      </c>
      <c r="D58" s="128"/>
      <c r="E58" s="104"/>
      <c r="F58" s="104"/>
    </row>
    <row r="59" spans="1:6" ht="15" customHeight="1" x14ac:dyDescent="0.35">
      <c r="A59" s="129"/>
      <c r="B59" s="39" t="s">
        <v>43</v>
      </c>
      <c r="C59" s="37">
        <v>780916.02</v>
      </c>
      <c r="D59" s="128"/>
      <c r="E59" s="104"/>
      <c r="F59" s="104"/>
    </row>
    <row r="60" spans="1:6" ht="15" customHeight="1" x14ac:dyDescent="0.35">
      <c r="A60" s="129"/>
      <c r="B60" s="87" t="s">
        <v>44</v>
      </c>
      <c r="C60" s="88">
        <v>553119.98</v>
      </c>
      <c r="D60" s="128"/>
      <c r="E60" s="104"/>
      <c r="F60" s="104"/>
    </row>
    <row r="61" spans="1:6" ht="15" customHeight="1" x14ac:dyDescent="0.35">
      <c r="A61" s="129"/>
      <c r="B61" s="39" t="s">
        <v>45</v>
      </c>
      <c r="C61" s="37">
        <v>362251</v>
      </c>
      <c r="D61" s="128"/>
      <c r="E61" s="104"/>
      <c r="F61" s="104"/>
    </row>
    <row r="62" spans="1:6" ht="15" customHeight="1" x14ac:dyDescent="0.35">
      <c r="A62" s="129"/>
      <c r="B62" s="39" t="s">
        <v>46</v>
      </c>
      <c r="C62" s="37">
        <v>266143.8</v>
      </c>
      <c r="D62" s="128"/>
      <c r="E62" s="104"/>
      <c r="F62" s="104"/>
    </row>
    <row r="63" spans="1:6" ht="15" customHeight="1" x14ac:dyDescent="0.35">
      <c r="A63" s="129"/>
      <c r="B63" s="39" t="s">
        <v>47</v>
      </c>
      <c r="C63" s="37">
        <v>179465.48</v>
      </c>
      <c r="D63" s="128"/>
      <c r="E63" s="104"/>
      <c r="F63" s="104"/>
    </row>
    <row r="64" spans="1:6" ht="15" customHeight="1" x14ac:dyDescent="0.35">
      <c r="A64" s="129"/>
      <c r="B64" s="39" t="s">
        <v>48</v>
      </c>
      <c r="C64" s="37">
        <v>147561.9</v>
      </c>
      <c r="D64" s="128"/>
      <c r="E64" s="104"/>
      <c r="F64" s="104"/>
    </row>
    <row r="65" spans="1:6" ht="15" customHeight="1" x14ac:dyDescent="0.35">
      <c r="A65" s="129"/>
      <c r="B65" s="39" t="s">
        <v>49</v>
      </c>
      <c r="C65" s="37">
        <v>140987.79999999999</v>
      </c>
      <c r="D65" s="128"/>
      <c r="E65" s="104"/>
      <c r="F65" s="104"/>
    </row>
    <row r="66" spans="1:6" ht="15" customHeight="1" x14ac:dyDescent="0.35">
      <c r="A66" s="129"/>
      <c r="B66" s="39" t="s">
        <v>50</v>
      </c>
      <c r="C66" s="37">
        <v>136670.39999999999</v>
      </c>
      <c r="D66" s="128"/>
      <c r="E66" s="104"/>
      <c r="F66" s="104"/>
    </row>
    <row r="67" spans="1:6" ht="15" customHeight="1" x14ac:dyDescent="0.35">
      <c r="A67" s="129"/>
      <c r="B67" s="39" t="s">
        <v>51</v>
      </c>
      <c r="C67" s="37">
        <v>117949</v>
      </c>
      <c r="D67" s="128"/>
      <c r="E67" s="104"/>
      <c r="F67" s="104"/>
    </row>
    <row r="68" spans="1:6" ht="15" customHeight="1" x14ac:dyDescent="0.35">
      <c r="A68" s="129"/>
      <c r="B68" s="39" t="s">
        <v>52</v>
      </c>
      <c r="C68" s="37">
        <v>39600</v>
      </c>
      <c r="D68" s="128"/>
      <c r="E68" s="104"/>
      <c r="F68" s="104"/>
    </row>
    <row r="69" spans="1:6" ht="15" customHeight="1" x14ac:dyDescent="0.35">
      <c r="A69" s="129"/>
      <c r="B69" s="39" t="s">
        <v>53</v>
      </c>
      <c r="C69" s="37">
        <v>17225.5</v>
      </c>
      <c r="D69" s="128"/>
      <c r="E69" s="104"/>
      <c r="F69" s="104"/>
    </row>
    <row r="70" spans="1:6" ht="15" customHeight="1" x14ac:dyDescent="0.35">
      <c r="A70" s="129"/>
      <c r="B70" s="39" t="s">
        <v>55</v>
      </c>
      <c r="C70" s="37">
        <v>13918.58</v>
      </c>
      <c r="D70" s="128"/>
      <c r="E70" s="104"/>
      <c r="F70" s="104"/>
    </row>
    <row r="71" spans="1:6" ht="15" customHeight="1" x14ac:dyDescent="0.35">
      <c r="A71" s="129"/>
      <c r="B71" s="39" t="s">
        <v>56</v>
      </c>
      <c r="C71" s="37">
        <v>12000</v>
      </c>
      <c r="D71" s="128"/>
      <c r="E71" s="104"/>
      <c r="F71" s="104"/>
    </row>
    <row r="72" spans="1:6" ht="15" customHeight="1" x14ac:dyDescent="0.35">
      <c r="A72" s="129"/>
      <c r="B72" s="39" t="s">
        <v>57</v>
      </c>
      <c r="C72" s="37">
        <v>8000</v>
      </c>
      <c r="D72" s="128"/>
      <c r="E72" s="104"/>
      <c r="F72" s="104"/>
    </row>
    <row r="73" spans="1:6" x14ac:dyDescent="0.35">
      <c r="A73" s="129"/>
      <c r="B73" s="38"/>
      <c r="C73" s="37"/>
      <c r="D73" s="128"/>
      <c r="E73" s="104"/>
      <c r="F73" s="104"/>
    </row>
    <row r="74" spans="1:6" x14ac:dyDescent="0.35">
      <c r="A74" s="129"/>
      <c r="B74" s="40"/>
      <c r="C74" s="41">
        <f>SUM(C58:C73)</f>
        <v>4889724.82</v>
      </c>
      <c r="D74" s="128"/>
      <c r="E74" s="104"/>
      <c r="F74" s="104"/>
    </row>
    <row r="75" spans="1:6" ht="15" customHeight="1" x14ac:dyDescent="0.35">
      <c r="A75" s="133" t="s">
        <v>59</v>
      </c>
      <c r="B75" s="48"/>
      <c r="C75" s="49"/>
      <c r="D75" s="130" t="s">
        <v>150</v>
      </c>
      <c r="E75" s="104" t="s">
        <v>164</v>
      </c>
      <c r="F75" s="104" t="s">
        <v>175</v>
      </c>
    </row>
    <row r="76" spans="1:6" ht="15" customHeight="1" x14ac:dyDescent="0.35">
      <c r="A76" s="134"/>
      <c r="B76" s="50"/>
      <c r="C76" s="49"/>
      <c r="D76" s="131"/>
      <c r="E76" s="104"/>
      <c r="F76" s="104"/>
    </row>
    <row r="77" spans="1:6" ht="15" customHeight="1" x14ac:dyDescent="0.35">
      <c r="A77" s="134"/>
      <c r="B77" s="50" t="s">
        <v>60</v>
      </c>
      <c r="C77" s="49">
        <v>1478561.3</v>
      </c>
      <c r="D77" s="131"/>
      <c r="E77" s="104"/>
      <c r="F77" s="104"/>
    </row>
    <row r="78" spans="1:6" ht="15" customHeight="1" x14ac:dyDescent="0.35">
      <c r="A78" s="134"/>
      <c r="B78" s="50" t="s">
        <v>61</v>
      </c>
      <c r="C78" s="49">
        <v>699363.42</v>
      </c>
      <c r="D78" s="131"/>
      <c r="E78" s="104"/>
      <c r="F78" s="104"/>
    </row>
    <row r="79" spans="1:6" ht="15" customHeight="1" x14ac:dyDescent="0.35">
      <c r="A79" s="134"/>
      <c r="B79" s="50" t="s">
        <v>62</v>
      </c>
      <c r="C79" s="49">
        <v>138194.9</v>
      </c>
      <c r="D79" s="131"/>
      <c r="E79" s="104"/>
      <c r="F79" s="104"/>
    </row>
    <row r="80" spans="1:6" ht="15" customHeight="1" x14ac:dyDescent="0.35">
      <c r="A80" s="134"/>
      <c r="B80" s="98" t="s">
        <v>63</v>
      </c>
      <c r="C80" s="89">
        <v>132303.46</v>
      </c>
      <c r="D80" s="131"/>
      <c r="E80" s="104"/>
      <c r="F80" s="104"/>
    </row>
    <row r="81" spans="1:6" ht="15" customHeight="1" x14ac:dyDescent="0.35">
      <c r="A81" s="134"/>
      <c r="B81" s="50" t="s">
        <v>64</v>
      </c>
      <c r="C81" s="49">
        <v>131375.5</v>
      </c>
      <c r="D81" s="131"/>
      <c r="E81" s="104"/>
      <c r="F81" s="104"/>
    </row>
    <row r="82" spans="1:6" ht="15" customHeight="1" x14ac:dyDescent="0.35">
      <c r="A82" s="134"/>
      <c r="B82" s="50" t="s">
        <v>65</v>
      </c>
      <c r="C82" s="49">
        <v>94681.78</v>
      </c>
      <c r="D82" s="131"/>
      <c r="E82" s="104"/>
      <c r="F82" s="104"/>
    </row>
    <row r="83" spans="1:6" ht="15" customHeight="1" x14ac:dyDescent="0.35">
      <c r="A83" s="134"/>
      <c r="B83" s="50" t="s">
        <v>66</v>
      </c>
      <c r="C83" s="49">
        <v>92463.02</v>
      </c>
      <c r="D83" s="131"/>
      <c r="E83" s="104"/>
      <c r="F83" s="104"/>
    </row>
    <row r="84" spans="1:6" ht="15" customHeight="1" x14ac:dyDescent="0.35">
      <c r="A84" s="134"/>
      <c r="B84" s="50" t="s">
        <v>67</v>
      </c>
      <c r="C84" s="49">
        <v>67007.56</v>
      </c>
      <c r="D84" s="131"/>
      <c r="E84" s="104"/>
      <c r="F84" s="104"/>
    </row>
    <row r="85" spans="1:6" ht="15" customHeight="1" x14ac:dyDescent="0.35">
      <c r="A85" s="134"/>
      <c r="B85" s="50" t="s">
        <v>68</v>
      </c>
      <c r="C85" s="49">
        <v>42709.38</v>
      </c>
      <c r="D85" s="131"/>
      <c r="E85" s="104"/>
      <c r="F85" s="104"/>
    </row>
    <row r="86" spans="1:6" ht="15" customHeight="1" x14ac:dyDescent="0.35">
      <c r="A86" s="134"/>
      <c r="B86" s="50" t="s">
        <v>69</v>
      </c>
      <c r="C86" s="49">
        <v>17160.02</v>
      </c>
      <c r="D86" s="131"/>
      <c r="E86" s="104"/>
      <c r="F86" s="104"/>
    </row>
    <row r="87" spans="1:6" ht="15" customHeight="1" x14ac:dyDescent="0.35">
      <c r="A87" s="134"/>
      <c r="B87" s="50" t="s">
        <v>70</v>
      </c>
      <c r="C87" s="49">
        <v>3654.28</v>
      </c>
      <c r="D87" s="131"/>
      <c r="E87" s="104"/>
      <c r="F87" s="104"/>
    </row>
    <row r="88" spans="1:6" ht="15" customHeight="1" x14ac:dyDescent="0.35">
      <c r="A88" s="134"/>
      <c r="B88" s="50" t="s">
        <v>71</v>
      </c>
      <c r="C88" s="49">
        <v>2254.2800000000002</v>
      </c>
      <c r="D88" s="131"/>
      <c r="E88" s="104"/>
      <c r="F88" s="104"/>
    </row>
    <row r="89" spans="1:6" ht="15" customHeight="1" x14ac:dyDescent="0.35">
      <c r="A89" s="135"/>
      <c r="B89" s="51"/>
      <c r="C89" s="52">
        <f>SUM(C77:C88)</f>
        <v>2899728.8999999994</v>
      </c>
      <c r="D89" s="131"/>
      <c r="E89" s="104"/>
      <c r="F89" s="104"/>
    </row>
    <row r="90" spans="1:6" ht="15" customHeight="1" x14ac:dyDescent="0.35">
      <c r="A90" s="132" t="s">
        <v>72</v>
      </c>
      <c r="B90" s="53"/>
      <c r="C90" s="54"/>
      <c r="D90" s="136" t="s">
        <v>151</v>
      </c>
      <c r="E90" s="104" t="s">
        <v>157</v>
      </c>
      <c r="F90" s="147">
        <v>43705</v>
      </c>
    </row>
    <row r="91" spans="1:6" ht="15" customHeight="1" x14ac:dyDescent="0.35">
      <c r="A91" s="132"/>
      <c r="B91" s="55"/>
      <c r="C91" s="54"/>
      <c r="D91" s="137"/>
      <c r="E91" s="104"/>
      <c r="F91" s="147"/>
    </row>
    <row r="92" spans="1:6" ht="15" customHeight="1" x14ac:dyDescent="0.35">
      <c r="A92" s="132"/>
      <c r="B92" s="55" t="s">
        <v>73</v>
      </c>
      <c r="C92" s="54">
        <v>313832.24</v>
      </c>
      <c r="D92" s="137"/>
      <c r="E92" s="104"/>
      <c r="F92" s="147"/>
    </row>
    <row r="93" spans="1:6" ht="15" customHeight="1" x14ac:dyDescent="0.35">
      <c r="A93" s="132"/>
      <c r="B93" s="55" t="s">
        <v>74</v>
      </c>
      <c r="C93" s="54">
        <v>66374.2</v>
      </c>
      <c r="D93" s="137"/>
      <c r="E93" s="104"/>
      <c r="F93" s="147"/>
    </row>
    <row r="94" spans="1:6" ht="15" customHeight="1" x14ac:dyDescent="0.35">
      <c r="A94" s="132"/>
      <c r="B94" s="99" t="s">
        <v>75</v>
      </c>
      <c r="C94" s="100">
        <v>56375.5</v>
      </c>
      <c r="D94" s="137"/>
      <c r="E94" s="104"/>
      <c r="F94" s="147"/>
    </row>
    <row r="95" spans="1:6" ht="15" customHeight="1" x14ac:dyDescent="0.35">
      <c r="A95" s="132"/>
      <c r="B95" s="55" t="s">
        <v>76</v>
      </c>
      <c r="C95" s="54">
        <v>35005.279999999999</v>
      </c>
      <c r="D95" s="137"/>
      <c r="E95" s="104"/>
      <c r="F95" s="147"/>
    </row>
    <row r="96" spans="1:6" ht="15" customHeight="1" x14ac:dyDescent="0.35">
      <c r="A96" s="132"/>
      <c r="B96" s="55" t="s">
        <v>77</v>
      </c>
      <c r="C96" s="54">
        <v>16400</v>
      </c>
      <c r="D96" s="137"/>
      <c r="E96" s="104"/>
      <c r="F96" s="147"/>
    </row>
    <row r="97" spans="1:6" ht="15" customHeight="1" x14ac:dyDescent="0.35">
      <c r="A97" s="132"/>
      <c r="B97" s="55" t="s">
        <v>78</v>
      </c>
      <c r="C97" s="54">
        <v>10433.06</v>
      </c>
      <c r="D97" s="137"/>
      <c r="E97" s="104"/>
      <c r="F97" s="147"/>
    </row>
    <row r="98" spans="1:6" ht="15" customHeight="1" x14ac:dyDescent="0.35">
      <c r="A98" s="132"/>
      <c r="B98" s="55" t="s">
        <v>79</v>
      </c>
      <c r="C98" s="54">
        <v>6962.66</v>
      </c>
      <c r="D98" s="137"/>
      <c r="E98" s="104"/>
      <c r="F98" s="147"/>
    </row>
    <row r="99" spans="1:6" ht="15" customHeight="1" x14ac:dyDescent="0.35">
      <c r="A99" s="132"/>
      <c r="B99" s="55" t="s">
        <v>80</v>
      </c>
      <c r="C99" s="54">
        <v>6954.28</v>
      </c>
      <c r="D99" s="137"/>
      <c r="E99" s="104"/>
      <c r="F99" s="147"/>
    </row>
    <row r="100" spans="1:6" ht="15" customHeight="1" x14ac:dyDescent="0.35">
      <c r="A100" s="132"/>
      <c r="B100" s="55" t="s">
        <v>81</v>
      </c>
      <c r="C100" s="54">
        <v>6534.7</v>
      </c>
      <c r="D100" s="137"/>
      <c r="E100" s="104"/>
      <c r="F100" s="147"/>
    </row>
    <row r="101" spans="1:6" ht="15" customHeight="1" x14ac:dyDescent="0.35">
      <c r="A101" s="132"/>
      <c r="B101" s="55" t="s">
        <v>82</v>
      </c>
      <c r="C101" s="54">
        <v>5600</v>
      </c>
      <c r="D101" s="137"/>
      <c r="E101" s="104"/>
      <c r="F101" s="147"/>
    </row>
    <row r="102" spans="1:6" ht="15" customHeight="1" x14ac:dyDescent="0.35">
      <c r="A102" s="132"/>
      <c r="B102" s="56"/>
      <c r="C102" s="57">
        <f>SUM(C92:C101)</f>
        <v>524471.91999999993</v>
      </c>
      <c r="D102" s="137"/>
      <c r="E102" s="104"/>
      <c r="F102" s="147"/>
    </row>
    <row r="103" spans="1:6" x14ac:dyDescent="0.35">
      <c r="A103" s="138" t="s">
        <v>83</v>
      </c>
      <c r="B103" s="58"/>
      <c r="C103" s="59"/>
      <c r="D103" s="139" t="s">
        <v>152</v>
      </c>
      <c r="E103" s="104" t="s">
        <v>165</v>
      </c>
      <c r="F103" s="104" t="s">
        <v>176</v>
      </c>
    </row>
    <row r="104" spans="1:6" x14ac:dyDescent="0.35">
      <c r="A104" s="138"/>
      <c r="B104" s="60"/>
      <c r="C104" s="59"/>
      <c r="D104" s="140"/>
      <c r="E104" s="104"/>
      <c r="F104" s="104"/>
    </row>
    <row r="105" spans="1:6" x14ac:dyDescent="0.35">
      <c r="A105" s="138"/>
      <c r="B105" s="61" t="s">
        <v>84</v>
      </c>
      <c r="C105" s="59">
        <v>7104949.9199999999</v>
      </c>
      <c r="D105" s="140"/>
      <c r="E105" s="104"/>
      <c r="F105" s="104"/>
    </row>
    <row r="106" spans="1:6" x14ac:dyDescent="0.35">
      <c r="A106" s="138"/>
      <c r="B106" s="61" t="s">
        <v>85</v>
      </c>
      <c r="C106" s="59">
        <v>713938.8</v>
      </c>
      <c r="D106" s="140"/>
      <c r="E106" s="104"/>
      <c r="F106" s="104"/>
    </row>
    <row r="107" spans="1:6" x14ac:dyDescent="0.35">
      <c r="A107" s="138"/>
      <c r="B107" s="61" t="s">
        <v>86</v>
      </c>
      <c r="C107" s="59">
        <v>208408.64</v>
      </c>
      <c r="D107" s="140"/>
      <c r="E107" s="104"/>
      <c r="F107" s="104"/>
    </row>
    <row r="108" spans="1:6" x14ac:dyDescent="0.35">
      <c r="A108" s="138"/>
      <c r="B108" s="101" t="s">
        <v>87</v>
      </c>
      <c r="C108" s="102">
        <v>192089.8</v>
      </c>
      <c r="D108" s="140"/>
      <c r="E108" s="104"/>
      <c r="F108" s="104"/>
    </row>
    <row r="109" spans="1:6" x14ac:dyDescent="0.35">
      <c r="A109" s="138"/>
      <c r="B109" s="61" t="s">
        <v>88</v>
      </c>
      <c r="C109" s="59">
        <v>189066.3</v>
      </c>
      <c r="D109" s="140"/>
      <c r="E109" s="104"/>
      <c r="F109" s="104"/>
    </row>
    <row r="110" spans="1:6" x14ac:dyDescent="0.35">
      <c r="A110" s="138"/>
      <c r="B110" s="61" t="s">
        <v>89</v>
      </c>
      <c r="C110" s="59">
        <v>156145.07999999999</v>
      </c>
      <c r="D110" s="140"/>
      <c r="E110" s="104"/>
      <c r="F110" s="104"/>
    </row>
    <row r="111" spans="1:6" x14ac:dyDescent="0.35">
      <c r="A111" s="138"/>
      <c r="B111" s="61" t="s">
        <v>90</v>
      </c>
      <c r="C111" s="59">
        <v>145710.20000000001</v>
      </c>
      <c r="D111" s="140"/>
      <c r="E111" s="104"/>
      <c r="F111" s="104"/>
    </row>
    <row r="112" spans="1:6" x14ac:dyDescent="0.35">
      <c r="A112" s="138"/>
      <c r="B112" s="98" t="s">
        <v>91</v>
      </c>
      <c r="C112" s="90">
        <v>129853.46</v>
      </c>
      <c r="D112" s="140"/>
      <c r="E112" s="104"/>
      <c r="F112" s="104"/>
    </row>
    <row r="113" spans="1:6" x14ac:dyDescent="0.35">
      <c r="A113" s="138"/>
      <c r="B113" s="61" t="s">
        <v>92</v>
      </c>
      <c r="C113" s="59">
        <v>116184.7</v>
      </c>
      <c r="D113" s="140"/>
      <c r="E113" s="104"/>
      <c r="F113" s="104"/>
    </row>
    <row r="114" spans="1:6" x14ac:dyDescent="0.35">
      <c r="A114" s="138"/>
      <c r="B114" s="61" t="s">
        <v>93</v>
      </c>
      <c r="C114" s="59">
        <v>74467.759999999995</v>
      </c>
      <c r="D114" s="140"/>
      <c r="E114" s="104"/>
      <c r="F114" s="104"/>
    </row>
    <row r="115" spans="1:6" x14ac:dyDescent="0.35">
      <c r="A115" s="138"/>
      <c r="B115" s="61" t="s">
        <v>94</v>
      </c>
      <c r="C115" s="59">
        <v>51170.400000000001</v>
      </c>
      <c r="D115" s="140"/>
      <c r="E115" s="104"/>
      <c r="F115" s="104"/>
    </row>
    <row r="116" spans="1:6" x14ac:dyDescent="0.35">
      <c r="A116" s="138"/>
      <c r="B116" s="61" t="s">
        <v>95</v>
      </c>
      <c r="C116" s="59">
        <v>45144.08</v>
      </c>
      <c r="D116" s="140"/>
      <c r="E116" s="104"/>
      <c r="F116" s="104"/>
    </row>
    <row r="117" spans="1:6" x14ac:dyDescent="0.35">
      <c r="A117" s="138"/>
      <c r="B117" s="61" t="s">
        <v>96</v>
      </c>
      <c r="C117" s="62">
        <v>43223.68</v>
      </c>
      <c r="D117" s="140"/>
      <c r="E117" s="104"/>
      <c r="F117" s="104"/>
    </row>
    <row r="118" spans="1:6" x14ac:dyDescent="0.35">
      <c r="A118" s="138"/>
      <c r="B118" s="61" t="s">
        <v>97</v>
      </c>
      <c r="C118" s="59">
        <v>36501.82</v>
      </c>
      <c r="D118" s="140"/>
      <c r="E118" s="104"/>
      <c r="F118" s="104"/>
    </row>
    <row r="119" spans="1:6" x14ac:dyDescent="0.35">
      <c r="A119" s="138"/>
      <c r="B119" s="61" t="s">
        <v>98</v>
      </c>
      <c r="C119" s="59">
        <v>33879.379999999997</v>
      </c>
      <c r="D119" s="140"/>
      <c r="E119" s="104"/>
      <c r="F119" s="104"/>
    </row>
    <row r="120" spans="1:6" x14ac:dyDescent="0.35">
      <c r="A120" s="138"/>
      <c r="B120" s="61" t="s">
        <v>99</v>
      </c>
      <c r="C120" s="59">
        <v>28423.68</v>
      </c>
      <c r="D120" s="140"/>
      <c r="E120" s="104"/>
      <c r="F120" s="104"/>
    </row>
    <row r="121" spans="1:6" x14ac:dyDescent="0.35">
      <c r="A121" s="138"/>
      <c r="B121" s="61" t="s">
        <v>100</v>
      </c>
      <c r="C121" s="59">
        <v>27355.1</v>
      </c>
      <c r="D121" s="140"/>
      <c r="E121" s="104"/>
      <c r="F121" s="104"/>
    </row>
    <row r="122" spans="1:6" x14ac:dyDescent="0.35">
      <c r="A122" s="138"/>
      <c r="B122" s="61" t="s">
        <v>101</v>
      </c>
      <c r="C122" s="59">
        <v>21783.06</v>
      </c>
      <c r="D122" s="140"/>
      <c r="E122" s="104"/>
      <c r="F122" s="104"/>
    </row>
    <row r="123" spans="1:6" x14ac:dyDescent="0.35">
      <c r="A123" s="138"/>
      <c r="B123" s="61" t="s">
        <v>102</v>
      </c>
      <c r="C123" s="59">
        <v>19020.400000000001</v>
      </c>
      <c r="D123" s="140"/>
      <c r="E123" s="104"/>
      <c r="F123" s="104"/>
    </row>
    <row r="124" spans="1:6" x14ac:dyDescent="0.35">
      <c r="A124" s="138"/>
      <c r="B124" s="61" t="s">
        <v>103</v>
      </c>
      <c r="C124" s="59">
        <v>15629.6</v>
      </c>
      <c r="D124" s="140"/>
      <c r="E124" s="104"/>
      <c r="F124" s="104"/>
    </row>
    <row r="125" spans="1:6" x14ac:dyDescent="0.35">
      <c r="A125" s="138"/>
      <c r="B125" s="61" t="s">
        <v>104</v>
      </c>
      <c r="C125" s="59">
        <v>15032.24</v>
      </c>
      <c r="D125" s="140"/>
      <c r="E125" s="104"/>
      <c r="F125" s="104"/>
    </row>
    <row r="126" spans="1:6" x14ac:dyDescent="0.35">
      <c r="A126" s="138"/>
      <c r="B126" s="61" t="s">
        <v>105</v>
      </c>
      <c r="C126" s="59">
        <v>12748.36</v>
      </c>
      <c r="D126" s="140"/>
      <c r="E126" s="104"/>
      <c r="F126" s="104"/>
    </row>
    <row r="127" spans="1:6" x14ac:dyDescent="0.35">
      <c r="A127" s="138"/>
      <c r="B127" s="61" t="s">
        <v>106</v>
      </c>
      <c r="C127" s="59">
        <v>6954.28</v>
      </c>
      <c r="D127" s="140"/>
      <c r="E127" s="104"/>
      <c r="F127" s="104"/>
    </row>
    <row r="128" spans="1:6" x14ac:dyDescent="0.35">
      <c r="A128" s="138"/>
      <c r="B128" s="61" t="s">
        <v>107</v>
      </c>
      <c r="C128" s="59">
        <v>3635.52</v>
      </c>
      <c r="D128" s="140"/>
      <c r="E128" s="104"/>
      <c r="F128" s="104"/>
    </row>
    <row r="129" spans="1:6" x14ac:dyDescent="0.35">
      <c r="A129" s="138"/>
      <c r="B129" s="61" t="s">
        <v>108</v>
      </c>
      <c r="C129" s="59">
        <v>1500</v>
      </c>
      <c r="D129" s="140"/>
      <c r="E129" s="104"/>
      <c r="F129" s="104"/>
    </row>
    <row r="130" spans="1:6" x14ac:dyDescent="0.35">
      <c r="A130" s="138"/>
      <c r="B130" s="63"/>
      <c r="C130" s="64">
        <f>SUM(C105:C129)</f>
        <v>9392816.2599999979</v>
      </c>
      <c r="D130" s="140"/>
      <c r="E130" s="104"/>
      <c r="F130" s="104"/>
    </row>
    <row r="131" spans="1:6" ht="15" customHeight="1" x14ac:dyDescent="0.35">
      <c r="A131" s="121" t="s">
        <v>109</v>
      </c>
      <c r="B131" s="3"/>
      <c r="C131" s="4"/>
      <c r="D131" s="119" t="s">
        <v>153</v>
      </c>
      <c r="E131" s="104" t="s">
        <v>166</v>
      </c>
      <c r="F131" s="104" t="s">
        <v>177</v>
      </c>
    </row>
    <row r="132" spans="1:6" ht="15" customHeight="1" x14ac:dyDescent="0.35">
      <c r="A132" s="122"/>
      <c r="B132" s="67"/>
      <c r="C132" s="68"/>
      <c r="D132" s="120"/>
      <c r="E132" s="104"/>
      <c r="F132" s="104"/>
    </row>
    <row r="133" spans="1:6" ht="15" customHeight="1" x14ac:dyDescent="0.35">
      <c r="A133" s="122"/>
      <c r="B133" s="67" t="s">
        <v>110</v>
      </c>
      <c r="C133" s="68">
        <v>2708240.84</v>
      </c>
      <c r="D133" s="120"/>
      <c r="E133" s="104"/>
      <c r="F133" s="104"/>
    </row>
    <row r="134" spans="1:6" ht="15" customHeight="1" x14ac:dyDescent="0.35">
      <c r="A134" s="122"/>
      <c r="B134" s="67" t="s">
        <v>111</v>
      </c>
      <c r="C134" s="68">
        <v>912267.48</v>
      </c>
      <c r="D134" s="120"/>
      <c r="E134" s="104"/>
      <c r="F134" s="104"/>
    </row>
    <row r="135" spans="1:6" ht="15" customHeight="1" x14ac:dyDescent="0.35">
      <c r="A135" s="122"/>
      <c r="B135" s="67" t="s">
        <v>112</v>
      </c>
      <c r="C135" s="68">
        <v>227363.66</v>
      </c>
      <c r="D135" s="120"/>
      <c r="E135" s="104"/>
      <c r="F135" s="104"/>
    </row>
    <row r="136" spans="1:6" ht="15" customHeight="1" x14ac:dyDescent="0.35">
      <c r="A136" s="122"/>
      <c r="B136" s="67" t="s">
        <v>113</v>
      </c>
      <c r="C136" s="68">
        <v>133238.98000000001</v>
      </c>
      <c r="D136" s="120"/>
      <c r="E136" s="104"/>
      <c r="F136" s="104"/>
    </row>
    <row r="137" spans="1:6" ht="15" customHeight="1" x14ac:dyDescent="0.35">
      <c r="A137" s="122"/>
      <c r="B137" s="91" t="s">
        <v>114</v>
      </c>
      <c r="C137" s="92">
        <v>65774.679999999993</v>
      </c>
      <c r="D137" s="120"/>
      <c r="E137" s="104"/>
      <c r="F137" s="104"/>
    </row>
    <row r="138" spans="1:6" ht="15" customHeight="1" x14ac:dyDescent="0.35">
      <c r="A138" s="122"/>
      <c r="B138" s="67" t="s">
        <v>115</v>
      </c>
      <c r="C138" s="68">
        <v>62269.4</v>
      </c>
      <c r="D138" s="120"/>
      <c r="E138" s="104"/>
      <c r="F138" s="104"/>
    </row>
    <row r="139" spans="1:6" ht="15" customHeight="1" x14ac:dyDescent="0.35">
      <c r="A139" s="122"/>
      <c r="B139" s="67" t="s">
        <v>116</v>
      </c>
      <c r="C139" s="68">
        <v>55373.68</v>
      </c>
      <c r="D139" s="120"/>
      <c r="E139" s="104"/>
      <c r="F139" s="104"/>
    </row>
    <row r="140" spans="1:6" ht="15" customHeight="1" x14ac:dyDescent="0.35">
      <c r="A140" s="122"/>
      <c r="B140" s="67" t="s">
        <v>117</v>
      </c>
      <c r="C140" s="68">
        <v>24130.42</v>
      </c>
      <c r="D140" s="120"/>
      <c r="E140" s="104"/>
      <c r="F140" s="104"/>
    </row>
    <row r="141" spans="1:6" ht="15" customHeight="1" x14ac:dyDescent="0.35">
      <c r="A141" s="122"/>
      <c r="B141" s="67" t="s">
        <v>118</v>
      </c>
      <c r="C141" s="68">
        <v>14994.9</v>
      </c>
      <c r="D141" s="120"/>
      <c r="E141" s="104"/>
      <c r="F141" s="104"/>
    </row>
    <row r="142" spans="1:6" ht="15" customHeight="1" x14ac:dyDescent="0.35">
      <c r="A142" s="122"/>
      <c r="B142" s="67" t="s">
        <v>119</v>
      </c>
      <c r="C142" s="68">
        <v>11035.52</v>
      </c>
      <c r="D142" s="120"/>
      <c r="E142" s="104"/>
      <c r="F142" s="104"/>
    </row>
    <row r="143" spans="1:6" ht="15" customHeight="1" x14ac:dyDescent="0.35">
      <c r="A143" s="122"/>
      <c r="B143" s="67" t="s">
        <v>120</v>
      </c>
      <c r="C143" s="68">
        <v>10000</v>
      </c>
      <c r="D143" s="120"/>
      <c r="E143" s="104"/>
      <c r="F143" s="104"/>
    </row>
    <row r="144" spans="1:6" ht="15" customHeight="1" x14ac:dyDescent="0.35">
      <c r="A144" s="122"/>
      <c r="B144" s="67" t="s">
        <v>121</v>
      </c>
      <c r="C144" s="68">
        <v>7815.3</v>
      </c>
      <c r="D144" s="120"/>
      <c r="E144" s="104"/>
      <c r="F144" s="104"/>
    </row>
    <row r="145" spans="1:6" ht="15" customHeight="1" x14ac:dyDescent="0.35">
      <c r="A145" s="122"/>
      <c r="B145" s="67" t="s">
        <v>122</v>
      </c>
      <c r="C145" s="68">
        <v>7275.5</v>
      </c>
      <c r="D145" s="120"/>
      <c r="E145" s="104"/>
      <c r="F145" s="104"/>
    </row>
    <row r="146" spans="1:6" x14ac:dyDescent="0.35">
      <c r="A146" s="123"/>
      <c r="B146" s="69"/>
      <c r="C146" s="70">
        <f>SUM(C133:C145)</f>
        <v>4239780.3599999994</v>
      </c>
      <c r="D146" s="120"/>
      <c r="E146" s="104"/>
      <c r="F146" s="104"/>
    </row>
    <row r="147" spans="1:6" x14ac:dyDescent="0.35">
      <c r="A147" s="141" t="s">
        <v>123</v>
      </c>
      <c r="B147" s="71"/>
      <c r="C147" s="72"/>
      <c r="D147" s="142" t="s">
        <v>154</v>
      </c>
      <c r="E147" s="104" t="s">
        <v>167</v>
      </c>
      <c r="F147" s="104">
        <v>4815</v>
      </c>
    </row>
    <row r="148" spans="1:6" x14ac:dyDescent="0.35">
      <c r="A148" s="141"/>
      <c r="B148" s="73"/>
      <c r="C148" s="72"/>
      <c r="D148" s="143"/>
      <c r="E148" s="104"/>
      <c r="F148" s="104"/>
    </row>
    <row r="149" spans="1:6" x14ac:dyDescent="0.35">
      <c r="A149" s="141"/>
      <c r="B149" s="74" t="s">
        <v>124</v>
      </c>
      <c r="C149" s="75">
        <v>4815.3</v>
      </c>
      <c r="D149" s="143"/>
      <c r="E149" s="104"/>
      <c r="F149" s="104"/>
    </row>
    <row r="150" spans="1:6" x14ac:dyDescent="0.35">
      <c r="A150" s="141"/>
      <c r="B150" s="73"/>
      <c r="C150" s="72"/>
      <c r="D150" s="143"/>
      <c r="E150" s="104"/>
      <c r="F150" s="104"/>
    </row>
    <row r="151" spans="1:6" x14ac:dyDescent="0.35">
      <c r="A151" s="144" t="s">
        <v>125</v>
      </c>
      <c r="B151" s="76"/>
      <c r="C151" s="77"/>
      <c r="D151" s="145" t="s">
        <v>155</v>
      </c>
      <c r="E151" s="104" t="s">
        <v>168</v>
      </c>
      <c r="F151" s="147">
        <v>51808</v>
      </c>
    </row>
    <row r="152" spans="1:6" x14ac:dyDescent="0.35">
      <c r="A152" s="144"/>
      <c r="B152" s="78"/>
      <c r="C152" s="77"/>
      <c r="D152" s="146"/>
      <c r="E152" s="104"/>
      <c r="F152" s="147"/>
    </row>
    <row r="153" spans="1:6" x14ac:dyDescent="0.35">
      <c r="A153" s="144"/>
      <c r="B153" s="78" t="s">
        <v>126</v>
      </c>
      <c r="C153" s="77">
        <v>243871.46</v>
      </c>
      <c r="D153" s="146"/>
      <c r="E153" s="104"/>
      <c r="F153" s="147"/>
    </row>
    <row r="154" spans="1:6" x14ac:dyDescent="0.35">
      <c r="A154" s="144"/>
      <c r="B154" s="93" t="s">
        <v>127</v>
      </c>
      <c r="C154" s="94">
        <v>207957.28</v>
      </c>
      <c r="D154" s="146"/>
      <c r="E154" s="104"/>
      <c r="F154" s="147"/>
    </row>
    <row r="155" spans="1:6" x14ac:dyDescent="0.35">
      <c r="A155" s="144"/>
      <c r="B155" s="78" t="s">
        <v>128</v>
      </c>
      <c r="C155" s="77">
        <v>102405.74</v>
      </c>
      <c r="D155" s="146"/>
      <c r="E155" s="104"/>
      <c r="F155" s="147"/>
    </row>
    <row r="156" spans="1:6" x14ac:dyDescent="0.35">
      <c r="A156" s="144"/>
      <c r="B156" s="78" t="s">
        <v>129</v>
      </c>
      <c r="C156" s="77">
        <v>26719.4</v>
      </c>
      <c r="D156" s="146"/>
      <c r="E156" s="104"/>
      <c r="F156" s="147"/>
    </row>
    <row r="157" spans="1:6" x14ac:dyDescent="0.35">
      <c r="A157" s="144"/>
      <c r="B157" s="78" t="s">
        <v>130</v>
      </c>
      <c r="C157" s="77">
        <v>20151.82</v>
      </c>
      <c r="D157" s="146"/>
      <c r="E157" s="104"/>
      <c r="F157" s="147"/>
    </row>
    <row r="158" spans="1:6" x14ac:dyDescent="0.35">
      <c r="A158" s="144"/>
      <c r="B158" s="78" t="s">
        <v>131</v>
      </c>
      <c r="C158" s="77">
        <v>19833.060000000001</v>
      </c>
      <c r="D158" s="146"/>
      <c r="E158" s="104"/>
      <c r="F158" s="147"/>
    </row>
    <row r="159" spans="1:6" x14ac:dyDescent="0.35">
      <c r="A159" s="144"/>
      <c r="B159" s="78" t="s">
        <v>132</v>
      </c>
      <c r="C159" s="77">
        <v>762.6</v>
      </c>
      <c r="D159" s="146"/>
      <c r="E159" s="104"/>
      <c r="F159" s="147"/>
    </row>
    <row r="160" spans="1:6" x14ac:dyDescent="0.35">
      <c r="A160" s="144"/>
      <c r="B160" s="79"/>
      <c r="C160" s="80">
        <f>SUM(C153:C159)</f>
        <v>621701.36</v>
      </c>
      <c r="D160" s="146"/>
      <c r="E160" s="104"/>
      <c r="F160" s="147"/>
    </row>
    <row r="161" spans="1:6" ht="15" customHeight="1" x14ac:dyDescent="0.35">
      <c r="A161" s="148" t="s">
        <v>133</v>
      </c>
      <c r="B161" s="7"/>
      <c r="C161" s="4"/>
      <c r="D161" s="147" t="s">
        <v>156</v>
      </c>
      <c r="E161" s="104" t="s">
        <v>169</v>
      </c>
      <c r="F161" s="147">
        <v>16298</v>
      </c>
    </row>
    <row r="162" spans="1:6" ht="15" customHeight="1" x14ac:dyDescent="0.35">
      <c r="A162" s="148"/>
      <c r="B162" s="8"/>
      <c r="C162" s="4"/>
      <c r="D162" s="104"/>
      <c r="E162" s="104"/>
      <c r="F162" s="147"/>
    </row>
    <row r="163" spans="1:6" ht="15" customHeight="1" x14ac:dyDescent="0.35">
      <c r="A163" s="148"/>
      <c r="B163" s="103" t="s">
        <v>134</v>
      </c>
      <c r="C163" s="95">
        <v>114084.88</v>
      </c>
      <c r="D163" s="104"/>
      <c r="E163" s="104"/>
      <c r="F163" s="147"/>
    </row>
    <row r="164" spans="1:6" ht="15" customHeight="1" x14ac:dyDescent="0.35">
      <c r="A164" s="148"/>
      <c r="B164" s="8" t="s">
        <v>135</v>
      </c>
      <c r="C164" s="4">
        <v>45163.66</v>
      </c>
      <c r="D164" s="104"/>
      <c r="E164" s="104"/>
      <c r="F164" s="147"/>
    </row>
    <row r="165" spans="1:6" ht="15" customHeight="1" x14ac:dyDescent="0.35">
      <c r="A165" s="148"/>
      <c r="B165" s="8" t="s">
        <v>136</v>
      </c>
      <c r="C165" s="4">
        <v>19385.52</v>
      </c>
      <c r="D165" s="104"/>
      <c r="E165" s="104"/>
      <c r="F165" s="147"/>
    </row>
    <row r="166" spans="1:6" ht="15" customHeight="1" x14ac:dyDescent="0.35">
      <c r="A166" s="148"/>
      <c r="B166" s="8" t="s">
        <v>137</v>
      </c>
      <c r="C166" s="4">
        <v>14845.72</v>
      </c>
      <c r="D166" s="104"/>
      <c r="E166" s="104"/>
      <c r="F166" s="147"/>
    </row>
    <row r="167" spans="1:6" ht="15" customHeight="1" x14ac:dyDescent="0.35">
      <c r="A167" s="148"/>
      <c r="B167" s="8" t="s">
        <v>138</v>
      </c>
      <c r="C167" s="4">
        <v>2101.64</v>
      </c>
      <c r="D167" s="104"/>
      <c r="E167" s="104"/>
      <c r="F167" s="147"/>
    </row>
    <row r="168" spans="1:6" x14ac:dyDescent="0.35">
      <c r="A168" s="148"/>
      <c r="B168" s="65"/>
      <c r="C168" s="66">
        <f>SUM(C163:C167)</f>
        <v>195581.42</v>
      </c>
      <c r="D168" s="104"/>
      <c r="E168" s="104"/>
      <c r="F168" s="147"/>
    </row>
  </sheetData>
  <mergeCells count="56">
    <mergeCell ref="F131:F146"/>
    <mergeCell ref="F147:F150"/>
    <mergeCell ref="F151:F160"/>
    <mergeCell ref="F161:F168"/>
    <mergeCell ref="F48:F55"/>
    <mergeCell ref="F56:F74"/>
    <mergeCell ref="F75:F89"/>
    <mergeCell ref="F90:F102"/>
    <mergeCell ref="F103:F130"/>
    <mergeCell ref="F2:F8"/>
    <mergeCell ref="F9:F20"/>
    <mergeCell ref="F21:F25"/>
    <mergeCell ref="F26:F39"/>
    <mergeCell ref="F40:F47"/>
    <mergeCell ref="A147:A150"/>
    <mergeCell ref="D147:D150"/>
    <mergeCell ref="A151:A160"/>
    <mergeCell ref="D151:D160"/>
    <mergeCell ref="D161:D168"/>
    <mergeCell ref="A161:A168"/>
    <mergeCell ref="D131:D146"/>
    <mergeCell ref="A131:A146"/>
    <mergeCell ref="A48:A55"/>
    <mergeCell ref="D48:D55"/>
    <mergeCell ref="D56:D74"/>
    <mergeCell ref="A56:A74"/>
    <mergeCell ref="D75:D89"/>
    <mergeCell ref="A90:A102"/>
    <mergeCell ref="A75:A89"/>
    <mergeCell ref="D90:D102"/>
    <mergeCell ref="A103:A130"/>
    <mergeCell ref="D103:D130"/>
    <mergeCell ref="A21:A25"/>
    <mergeCell ref="D21:D25"/>
    <mergeCell ref="D26:D39"/>
    <mergeCell ref="A26:A39"/>
    <mergeCell ref="D40:D47"/>
    <mergeCell ref="A40:A47"/>
    <mergeCell ref="D2:D8"/>
    <mergeCell ref="A9:A20"/>
    <mergeCell ref="D9:D20"/>
    <mergeCell ref="E9:E20"/>
    <mergeCell ref="A2:A8"/>
    <mergeCell ref="E161:E168"/>
    <mergeCell ref="E2:E8"/>
    <mergeCell ref="E75:E89"/>
    <mergeCell ref="E90:E102"/>
    <mergeCell ref="E103:E130"/>
    <mergeCell ref="E131:E146"/>
    <mergeCell ref="E147:E150"/>
    <mergeCell ref="E151:E160"/>
    <mergeCell ref="E21:E25"/>
    <mergeCell ref="E26:E39"/>
    <mergeCell ref="E40:E47"/>
    <mergeCell ref="E48:E55"/>
    <mergeCell ref="E56:E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Shalima Subin</dc:creator>
  <cp:lastModifiedBy>Muhammed Fazal VS</cp:lastModifiedBy>
  <dcterms:created xsi:type="dcterms:W3CDTF">2025-05-28T11:38:53Z</dcterms:created>
  <dcterms:modified xsi:type="dcterms:W3CDTF">2025-12-03T10:12:38Z</dcterms:modified>
</cp:coreProperties>
</file>